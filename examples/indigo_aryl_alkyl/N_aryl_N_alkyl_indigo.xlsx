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cu6\Downloads\"/>
    </mc:Choice>
  </mc:AlternateContent>
  <xr:revisionPtr revIDLastSave="0" documentId="13_ncr:1_{E941E280-4A72-4461-BB9D-94BCB19CADC6}" xr6:coauthVersionLast="47" xr6:coauthVersionMax="47" xr10:uidLastSave="{00000000-0000-0000-0000-000000000000}"/>
  <bookViews>
    <workbookView xWindow="-28920" yWindow="-120" windowWidth="29040" windowHeight="15720" xr2:uid="{23ABDC5F-98FE-4B89-883D-5F8C04F6B499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6" l="1"/>
  <c r="F2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" i="6"/>
</calcChain>
</file>

<file path=xl/sharedStrings.xml><?xml version="1.0" encoding="utf-8"?>
<sst xmlns="http://schemas.openxmlformats.org/spreadsheetml/2006/main" count="88" uniqueCount="88">
  <si>
    <t>4-OMe</t>
  </si>
  <si>
    <t>4-F</t>
  </si>
  <si>
    <t>4-CF3</t>
  </si>
  <si>
    <t>4-CN</t>
  </si>
  <si>
    <t>4-NO2</t>
  </si>
  <si>
    <t>4-CO2Me</t>
  </si>
  <si>
    <t>Ar1</t>
  </si>
  <si>
    <t>Entry</t>
  </si>
  <si>
    <t>Ar_v_C=O</t>
  </si>
  <si>
    <t>CYH-196-A</t>
  </si>
  <si>
    <t>CYH-206-A</t>
  </si>
  <si>
    <t>CYH-209-A</t>
  </si>
  <si>
    <t>CYH-208-A</t>
  </si>
  <si>
    <t>CYH-217-A</t>
  </si>
  <si>
    <t>CYH-219-A</t>
  </si>
  <si>
    <t>CYH-220-A</t>
  </si>
  <si>
    <t>CYH-242-A</t>
  </si>
  <si>
    <t>CYH-243-A</t>
  </si>
  <si>
    <t>CYH-255-A</t>
  </si>
  <si>
    <t>CYH-197-A</t>
  </si>
  <si>
    <t>CYH-182-A</t>
  </si>
  <si>
    <t>CYH-183-A</t>
  </si>
  <si>
    <t>CYH-191-A</t>
  </si>
  <si>
    <t>CYH-186-A</t>
  </si>
  <si>
    <t>CYH-247-A</t>
  </si>
  <si>
    <t>CYH-250-A</t>
  </si>
  <si>
    <t>CYH-205-A</t>
  </si>
  <si>
    <t>CYH-213-A</t>
  </si>
  <si>
    <t>CYH-236-A</t>
  </si>
  <si>
    <t>4-pyridine</t>
  </si>
  <si>
    <t>4-Ph</t>
  </si>
  <si>
    <t>4-CHO</t>
  </si>
  <si>
    <t>benzofuran</t>
  </si>
  <si>
    <t>3-phth</t>
  </si>
  <si>
    <t>4-alkene</t>
  </si>
  <si>
    <t>4-OCF3</t>
  </si>
  <si>
    <t>2-naph</t>
  </si>
  <si>
    <t>3-Br</t>
  </si>
  <si>
    <t>thiophene</t>
  </si>
  <si>
    <t>4-OTIPS</t>
  </si>
  <si>
    <t>4-amide</t>
  </si>
  <si>
    <t>4-Cl</t>
  </si>
  <si>
    <t>3-alkyne</t>
  </si>
  <si>
    <t>PGOH-33</t>
  </si>
  <si>
    <t>Compound</t>
  </si>
  <si>
    <t>PGOH-09</t>
  </si>
  <si>
    <t>PGOH-13</t>
  </si>
  <si>
    <t>PGOH-14</t>
  </si>
  <si>
    <t>PGOH-16</t>
  </si>
  <si>
    <t>PGOH-19</t>
  </si>
  <si>
    <t>PGOH-21</t>
  </si>
  <si>
    <t>PGOH-20</t>
  </si>
  <si>
    <t>PGOH-25</t>
  </si>
  <si>
    <t>PGOH-24</t>
  </si>
  <si>
    <t>PGOH-28</t>
  </si>
  <si>
    <t>PGOH-10</t>
  </si>
  <si>
    <t>PGOH-01</t>
  </si>
  <si>
    <t>PGOH-06</t>
  </si>
  <si>
    <t>PGOH-07</t>
  </si>
  <si>
    <t>PGOH-26</t>
  </si>
  <si>
    <t>PGOH-27</t>
  </si>
  <si>
    <t>PGOH-12</t>
  </si>
  <si>
    <t>PGOH-15</t>
  </si>
  <si>
    <t>PGOH-22</t>
  </si>
  <si>
    <t>Ster_L</t>
  </si>
  <si>
    <t>Ster_B1</t>
  </si>
  <si>
    <t>Ster_B5</t>
  </si>
  <si>
    <t>kobs_MeCN</t>
  </si>
  <si>
    <t>ln(kobs)_MeCN</t>
  </si>
  <si>
    <t>kobs_toluene</t>
  </si>
  <si>
    <t>ln(kobs)_toluene</t>
  </si>
  <si>
    <t>dipole moment</t>
  </si>
  <si>
    <t>polarizability</t>
  </si>
  <si>
    <t>LUMO</t>
  </si>
  <si>
    <t>HOMO</t>
  </si>
  <si>
    <t>Occupancy_C1-O</t>
  </si>
  <si>
    <t>Energy_C1-O</t>
  </si>
  <si>
    <t>Occupancy_C1-C2</t>
  </si>
  <si>
    <t>Energy_C1-C2</t>
  </si>
  <si>
    <t>L_C1-C2</t>
  </si>
  <si>
    <t>Ar_NBO_C1</t>
  </si>
  <si>
    <t>Ar_NBO_C2</t>
  </si>
  <si>
    <t>Ar_NBO_=O</t>
  </si>
  <si>
    <t>Ar_NBO_-O</t>
  </si>
  <si>
    <t>Ar_I_C=O</t>
  </si>
  <si>
    <t>PGOH-30</t>
  </si>
  <si>
    <t>lor</t>
  </si>
  <si>
    <t>AKJ-1-452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</si>
</sst>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"/>
    <numFmt numFmtId="167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2D4DA-338A-4D8D-8B29-E291270EB7B7}">
  <dimension ref="A1:Z23"/>
  <sheetViews>
    <sheetView tabSelected="1" topLeftCell="B1" zoomScale="80" zoomScaleNormal="80" workbookViewId="0">
      <selection activeCell="B23" sqref="B23"/>
    </sheetView>
  </sheetViews>
  <sheetFormatPr defaultColWidth="9.1796875" defaultRowHeight="14.5" x14ac:dyDescent="0.35"/>
  <cols>
    <col min="1" max="1" width="8.26953125" style="1" customWidth="1"/>
    <col min="2" max="2" width="14.453125" style="1" customWidth="1"/>
    <col min="3" max="3" width="9.453125" style="1" customWidth="1"/>
    <col min="4" max="4" width="20.453125" style="1" customWidth="1"/>
    <col min="5" max="5" width="13.81640625" style="1" customWidth="1"/>
    <col min="6" max="6" width="12" style="1" customWidth="1"/>
    <col min="7" max="7" width="14.453125" style="1" customWidth="1"/>
    <col min="8" max="8" width="13.7265625" style="1" customWidth="1"/>
    <col min="9" max="9" width="11.26953125" style="1" customWidth="1"/>
    <col min="10" max="10" width="15.81640625" style="1" customWidth="1"/>
    <col min="11" max="11" width="13.81640625" style="1" customWidth="1"/>
    <col min="12" max="12" width="15.81640625" style="1" customWidth="1"/>
    <col min="13" max="13" width="12.81640625" style="1" customWidth="1"/>
    <col min="14" max="14" width="9.26953125" style="1" customWidth="1"/>
    <col min="15" max="15" width="9.54296875" style="1" customWidth="1"/>
    <col min="16" max="16" width="14.54296875" style="1" customWidth="1"/>
    <col min="17" max="17" width="13.54296875" style="1" customWidth="1"/>
    <col min="18" max="18" width="11.453125" style="1" customWidth="1"/>
    <col min="19" max="19" width="12" style="1" customWidth="1"/>
    <col min="20" max="20" width="11.453125" style="1" customWidth="1"/>
    <col min="21" max="22" width="13.26953125" style="1" customWidth="1"/>
    <col min="23" max="23" width="12.453125" style="1" customWidth="1"/>
    <col min="24" max="24" width="13" style="1" customWidth="1"/>
    <col min="25" max="25" width="11.453125" style="1" customWidth="1"/>
    <col min="26" max="26" width="12.7265625" style="1" customWidth="1"/>
    <col min="27" max="16384" width="9.1796875" style="1"/>
  </cols>
  <sheetData>
    <row r="1" spans="1:26" x14ac:dyDescent="0.35">
      <c r="A1" s="1" t="s">
        <v>7</v>
      </c>
      <c r="B1" s="1" t="s">
        <v>6</v>
      </c>
      <c r="C1" s="1" t="s">
        <v>44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79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73</v>
      </c>
      <c r="O1" s="1" t="s">
        <v>74</v>
      </c>
      <c r="P1" s="1" t="s">
        <v>71</v>
      </c>
      <c r="Q1" s="1" t="s">
        <v>72</v>
      </c>
      <c r="R1" s="1" t="s">
        <v>64</v>
      </c>
      <c r="S1" s="1" t="s">
        <v>65</v>
      </c>
      <c r="T1" s="1" t="s">
        <v>66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</v>
      </c>
    </row>
    <row r="2" spans="1:26" x14ac:dyDescent="0.35">
      <c r="A2" s="1">
        <v>1</v>
      </c>
      <c r="B2" s="1" t="s">
        <v>22</v>
      </c>
      <c r="C2" s="1" t="s">
        <v>43</v>
      </c>
      <c r="D2" s="1" t="s">
        <v>29</v>
      </c>
      <c r="E2" s="2">
        <v>8.1600000000000006E-2</v>
      </c>
      <c r="F2" s="5">
        <f>LN(E2)</f>
        <v>-2.5059260170120758</v>
      </c>
      <c r="G2" s="2">
        <v>3.15E-2</v>
      </c>
      <c r="H2" s="5">
        <f>LN(G2)</f>
        <v>-3.4577677331505496</v>
      </c>
      <c r="I2" s="5">
        <v>1.4912000000000001</v>
      </c>
      <c r="J2" s="5">
        <v>1.99461</v>
      </c>
      <c r="K2" s="5">
        <v>-1.06189</v>
      </c>
      <c r="L2" s="5">
        <v>1.9780599999999999</v>
      </c>
      <c r="M2" s="5">
        <v>-0.76748000000000005</v>
      </c>
      <c r="N2" s="5">
        <v>-4.5900000000000003E-2</v>
      </c>
      <c r="O2" s="5">
        <v>-0.33555000000000001</v>
      </c>
      <c r="P2" s="6">
        <v>1.784807</v>
      </c>
      <c r="Q2" s="6">
        <v>81.547332999999995</v>
      </c>
      <c r="R2" s="4">
        <v>5.74</v>
      </c>
      <c r="S2" s="4">
        <v>1.7</v>
      </c>
      <c r="T2" s="4">
        <v>3.22</v>
      </c>
      <c r="U2" s="3">
        <v>0.80200000000000005</v>
      </c>
      <c r="V2" s="3">
        <v>-0.14099999999999999</v>
      </c>
      <c r="W2" s="3">
        <v>-0.58799999999999997</v>
      </c>
      <c r="X2" s="3">
        <v>-0.69599999999999995</v>
      </c>
      <c r="Y2" s="2">
        <v>343.90809999999999</v>
      </c>
      <c r="Z2" s="4">
        <v>1859.57</v>
      </c>
    </row>
    <row r="3" spans="1:26" x14ac:dyDescent="0.35">
      <c r="A3" s="1">
        <v>2</v>
      </c>
      <c r="B3" s="1" t="s">
        <v>9</v>
      </c>
      <c r="C3" s="1" t="s">
        <v>45</v>
      </c>
      <c r="D3" s="1" t="s">
        <v>5</v>
      </c>
      <c r="E3" s="2">
        <v>0.1754</v>
      </c>
      <c r="F3" s="5">
        <f t="shared" ref="F3:F22" si="0">LN(E3)</f>
        <v>-1.7406861990440543</v>
      </c>
      <c r="G3" s="2">
        <v>7.0400000000000004E-2</v>
      </c>
      <c r="H3" s="5">
        <f t="shared" ref="H3:H22" si="1">LN(G3)</f>
        <v>-2.6535620158181401</v>
      </c>
      <c r="I3" s="5">
        <v>1.4883299999999999</v>
      </c>
      <c r="J3" s="5">
        <v>1.9945299999999999</v>
      </c>
      <c r="K3" s="5">
        <v>-1.07192</v>
      </c>
      <c r="L3" s="5">
        <v>1.97746</v>
      </c>
      <c r="M3" s="5">
        <v>-0.67423</v>
      </c>
      <c r="N3" s="5">
        <v>-5.2159999999999998E-2</v>
      </c>
      <c r="O3" s="5">
        <v>-0.33184000000000002</v>
      </c>
      <c r="P3" s="6">
        <v>0.78248099999999998</v>
      </c>
      <c r="Q3" s="6">
        <v>121.686333</v>
      </c>
      <c r="R3" s="4">
        <v>9.3699999999999992</v>
      </c>
      <c r="S3" s="4">
        <v>1.89</v>
      </c>
      <c r="T3" s="4">
        <v>3.35</v>
      </c>
      <c r="U3" s="3">
        <v>0.80300000000000005</v>
      </c>
      <c r="V3" s="3">
        <v>-0.159</v>
      </c>
      <c r="W3" s="3">
        <v>-0.59599999999999997</v>
      </c>
      <c r="X3" s="3">
        <v>-0.69899999999999995</v>
      </c>
      <c r="Y3" s="2">
        <v>298.94400000000002</v>
      </c>
      <c r="Z3" s="4">
        <v>1851.44</v>
      </c>
    </row>
    <row r="4" spans="1:26" x14ac:dyDescent="0.35">
      <c r="A4" s="1">
        <v>3</v>
      </c>
      <c r="B4" s="1" t="s">
        <v>10</v>
      </c>
      <c r="C4" s="1" t="s">
        <v>46</v>
      </c>
      <c r="D4" s="1" t="s">
        <v>4</v>
      </c>
      <c r="E4" s="2">
        <v>8.6199999999999999E-2</v>
      </c>
      <c r="F4" s="5">
        <f t="shared" si="0"/>
        <v>-2.4510851013124895</v>
      </c>
      <c r="G4" s="2">
        <v>4.65E-2</v>
      </c>
      <c r="H4" s="5">
        <f t="shared" si="1"/>
        <v>-3.0683029663888264</v>
      </c>
      <c r="I4" s="5">
        <v>1.4909600000000001</v>
      </c>
      <c r="J4" s="5">
        <v>1.9931700000000001</v>
      </c>
      <c r="K4" s="5">
        <v>-1.06423</v>
      </c>
      <c r="L4" s="5">
        <v>1.96218</v>
      </c>
      <c r="M4" s="5">
        <v>-0.80635999999999997</v>
      </c>
      <c r="N4" s="5">
        <v>-8.0409999999999995E-2</v>
      </c>
      <c r="O4" s="5">
        <v>-0.35253000000000001</v>
      </c>
      <c r="P4" s="6">
        <v>3.6315270000000002</v>
      </c>
      <c r="Q4" s="6">
        <v>105.616333</v>
      </c>
      <c r="R4" s="4">
        <v>7.72</v>
      </c>
      <c r="S4" s="4">
        <v>1.7</v>
      </c>
      <c r="T4" s="4">
        <v>3.23</v>
      </c>
      <c r="U4" s="3">
        <v>0.80200000000000005</v>
      </c>
      <c r="V4" s="3">
        <v>-0.14799999999999999</v>
      </c>
      <c r="W4" s="3">
        <v>-0.58799999999999997</v>
      </c>
      <c r="X4" s="3">
        <v>-0.69599999999999995</v>
      </c>
      <c r="Y4" s="2">
        <v>370.6431</v>
      </c>
      <c r="Z4" s="4">
        <v>1857.1</v>
      </c>
    </row>
    <row r="5" spans="1:26" x14ac:dyDescent="0.35">
      <c r="A5" s="1">
        <v>4</v>
      </c>
      <c r="B5" s="1" t="s">
        <v>11</v>
      </c>
      <c r="C5" s="1" t="s">
        <v>47</v>
      </c>
      <c r="D5" s="1" t="s">
        <v>2</v>
      </c>
      <c r="E5" s="2">
        <v>0.17480000000000001</v>
      </c>
      <c r="F5" s="5">
        <f t="shared" si="0"/>
        <v>-1.744112815760702</v>
      </c>
      <c r="G5" s="2">
        <v>6.8900000000000003E-2</v>
      </c>
      <c r="H5" s="5">
        <f t="shared" si="1"/>
        <v>-2.675099100962524</v>
      </c>
      <c r="I5" s="5">
        <v>1.48905</v>
      </c>
      <c r="J5" s="5">
        <v>1.9944</v>
      </c>
      <c r="K5" s="5">
        <v>-1.05203</v>
      </c>
      <c r="L5" s="5">
        <v>1.9762500000000001</v>
      </c>
      <c r="M5" s="5">
        <v>-0.76005999999999996</v>
      </c>
      <c r="N5" s="5">
        <v>-4.8280000000000003E-2</v>
      </c>
      <c r="O5" s="5">
        <v>-0.34294000000000002</v>
      </c>
      <c r="P5" s="6">
        <v>2.0017260000000001</v>
      </c>
      <c r="Q5" s="6">
        <v>101.253</v>
      </c>
      <c r="R5" s="4">
        <v>7.75</v>
      </c>
      <c r="S5" s="4">
        <v>2.17</v>
      </c>
      <c r="T5" s="4">
        <v>3.22</v>
      </c>
      <c r="U5" s="3">
        <v>0.80400000000000005</v>
      </c>
      <c r="V5" s="3">
        <v>-0.159</v>
      </c>
      <c r="W5" s="3">
        <v>-0.59299999999999997</v>
      </c>
      <c r="X5" s="3">
        <v>-0.69799999999999995</v>
      </c>
      <c r="Y5" s="2">
        <v>375.6318</v>
      </c>
      <c r="Z5" s="4">
        <v>1854.42</v>
      </c>
    </row>
    <row r="6" spans="1:26" x14ac:dyDescent="0.35">
      <c r="A6" s="1">
        <v>5</v>
      </c>
      <c r="B6" s="1" t="s">
        <v>12</v>
      </c>
      <c r="C6" s="1" t="s">
        <v>48</v>
      </c>
      <c r="D6" s="1" t="s">
        <v>30</v>
      </c>
      <c r="E6" s="2">
        <v>0.26279999999999998</v>
      </c>
      <c r="F6" s="5">
        <f t="shared" si="0"/>
        <v>-1.3363619923716816</v>
      </c>
      <c r="G6" s="2">
        <v>9.0700000000000003E-2</v>
      </c>
      <c r="H6" s="5">
        <f t="shared" si="1"/>
        <v>-2.4001979218610461</v>
      </c>
      <c r="I6" s="5">
        <v>1.4833799999999999</v>
      </c>
      <c r="J6" s="5">
        <v>1.99309</v>
      </c>
      <c r="K6" s="5">
        <v>-1.0149600000000001</v>
      </c>
      <c r="L6" s="5">
        <v>1.9630099999999999</v>
      </c>
      <c r="M6" s="5">
        <v>-0.72682999999999998</v>
      </c>
      <c r="N6" s="5">
        <v>-3.7740000000000003E-2</v>
      </c>
      <c r="O6" s="5">
        <v>-0.29315000000000002</v>
      </c>
      <c r="P6" s="6">
        <v>2.4247420000000002</v>
      </c>
      <c r="Q6" s="6">
        <v>164.86199999999999</v>
      </c>
      <c r="R6" s="4">
        <v>10.61</v>
      </c>
      <c r="S6" s="4">
        <v>1.7</v>
      </c>
      <c r="T6" s="4">
        <v>3.24</v>
      </c>
      <c r="U6" s="3">
        <v>0.80700000000000005</v>
      </c>
      <c r="V6" s="3">
        <v>-7.3999999999999996E-2</v>
      </c>
      <c r="W6" s="3">
        <v>-0.61</v>
      </c>
      <c r="X6" s="3">
        <v>-0.70699999999999996</v>
      </c>
      <c r="Y6" s="2">
        <v>465.21609999999998</v>
      </c>
      <c r="Z6" s="4">
        <v>1844.58</v>
      </c>
    </row>
    <row r="7" spans="1:26" x14ac:dyDescent="0.35">
      <c r="A7" s="1">
        <v>6</v>
      </c>
      <c r="B7" s="1" t="s">
        <v>13</v>
      </c>
      <c r="C7" s="1" t="s">
        <v>49</v>
      </c>
      <c r="D7" s="1" t="s">
        <v>31</v>
      </c>
      <c r="E7" s="2">
        <v>0.1512</v>
      </c>
      <c r="F7" s="5">
        <f t="shared" si="0"/>
        <v>-1.8891518152367044</v>
      </c>
      <c r="G7" s="2">
        <v>8.43E-2</v>
      </c>
      <c r="H7" s="5">
        <f t="shared" si="1"/>
        <v>-2.4733734139743273</v>
      </c>
      <c r="I7" s="5">
        <v>1.4895</v>
      </c>
      <c r="J7" s="1">
        <v>1.9945299999999999</v>
      </c>
      <c r="K7" s="1">
        <v>-1.06054</v>
      </c>
      <c r="L7" s="5">
        <v>1.9772700000000001</v>
      </c>
      <c r="M7" s="5">
        <v>-0.76546000000000003</v>
      </c>
      <c r="N7" s="5">
        <v>-6.5449999999999994E-2</v>
      </c>
      <c r="O7" s="5">
        <v>-0.33796999999999999</v>
      </c>
      <c r="P7" s="6">
        <v>1.3793759999999999</v>
      </c>
      <c r="Q7" s="6">
        <v>105.07466700000001</v>
      </c>
      <c r="R7" s="4">
        <v>7.8</v>
      </c>
      <c r="S7" s="4">
        <v>1.7</v>
      </c>
      <c r="T7" s="4">
        <v>3.24</v>
      </c>
      <c r="U7" s="3">
        <v>0.80200000000000005</v>
      </c>
      <c r="V7" s="3">
        <v>-0.152</v>
      </c>
      <c r="W7" s="3">
        <v>-0.59399999999999997</v>
      </c>
      <c r="X7" s="3">
        <v>-0.69699999999999995</v>
      </c>
      <c r="Y7" s="2">
        <v>212.61750000000001</v>
      </c>
      <c r="Z7" s="4">
        <v>1851.91</v>
      </c>
    </row>
    <row r="8" spans="1:26" x14ac:dyDescent="0.35">
      <c r="A8" s="1">
        <v>7</v>
      </c>
      <c r="B8" s="1" t="s">
        <v>14</v>
      </c>
      <c r="C8" s="1" t="s">
        <v>50</v>
      </c>
      <c r="D8" s="1" t="s">
        <v>32</v>
      </c>
      <c r="E8" s="2">
        <v>0.53559999999999997</v>
      </c>
      <c r="F8" s="5">
        <f t="shared" si="0"/>
        <v>-0.62436766516511966</v>
      </c>
      <c r="G8" s="2">
        <v>0.17080000000000001</v>
      </c>
      <c r="H8" s="5">
        <f t="shared" si="1"/>
        <v>-1.7672619976276676</v>
      </c>
      <c r="I8" s="5">
        <v>1.4828399999999999</v>
      </c>
      <c r="J8" s="5">
        <v>1.99447</v>
      </c>
      <c r="K8" s="5">
        <v>-1.0418099999999999</v>
      </c>
      <c r="L8" s="5">
        <v>1.97641</v>
      </c>
      <c r="M8" s="5">
        <v>-0.74675000000000002</v>
      </c>
      <c r="N8" s="5">
        <v>-2.018E-2</v>
      </c>
      <c r="O8" s="5">
        <v>-0.29271000000000003</v>
      </c>
      <c r="P8" s="6">
        <v>2.8353630000000001</v>
      </c>
      <c r="Q8" s="6">
        <v>114.194</v>
      </c>
      <c r="R8" s="4">
        <v>7.73</v>
      </c>
      <c r="S8" s="4">
        <v>1.7</v>
      </c>
      <c r="T8" s="4">
        <v>4.26</v>
      </c>
      <c r="U8" s="3">
        <v>0.80700000000000005</v>
      </c>
      <c r="V8" s="3">
        <v>-0.192</v>
      </c>
      <c r="W8" s="3">
        <v>-0.60699999999999998</v>
      </c>
      <c r="X8" s="3">
        <v>-0.70399999999999996</v>
      </c>
      <c r="Y8" s="2">
        <v>443.25819999999999</v>
      </c>
      <c r="Z8" s="4">
        <v>1843.97</v>
      </c>
    </row>
    <row r="9" spans="1:26" x14ac:dyDescent="0.35">
      <c r="A9" s="1">
        <v>8</v>
      </c>
      <c r="B9" s="1" t="s">
        <v>15</v>
      </c>
      <c r="C9" s="1" t="s">
        <v>51</v>
      </c>
      <c r="D9" s="1" t="s">
        <v>33</v>
      </c>
      <c r="E9" s="2">
        <v>0.1825</v>
      </c>
      <c r="F9" s="5">
        <f t="shared" si="0"/>
        <v>-1.701005105959591</v>
      </c>
      <c r="G9" s="2">
        <v>7.1099999999999997E-2</v>
      </c>
      <c r="H9" s="5">
        <f t="shared" si="1"/>
        <v>-2.6436679421729421</v>
      </c>
      <c r="I9" s="5">
        <v>1.4867699999999999</v>
      </c>
      <c r="J9" s="5">
        <v>1.99448</v>
      </c>
      <c r="K9" s="5">
        <v>-1.0391699999999999</v>
      </c>
      <c r="L9" s="5">
        <v>1.97645</v>
      </c>
      <c r="M9" s="5">
        <v>-0.74248999999999998</v>
      </c>
      <c r="N9" s="5">
        <v>-6.2950000000000006E-2</v>
      </c>
      <c r="O9" s="5">
        <v>-0.30681000000000003</v>
      </c>
      <c r="P9" s="6">
        <v>4.8541610000000004</v>
      </c>
      <c r="Q9" s="6">
        <v>195.57066699999999</v>
      </c>
      <c r="R9" s="4">
        <v>9.0299999999999994</v>
      </c>
      <c r="S9" s="4">
        <v>1.7</v>
      </c>
      <c r="T9" s="4">
        <v>8.74</v>
      </c>
      <c r="U9" s="3">
        <v>0.80700000000000005</v>
      </c>
      <c r="V9" s="3">
        <v>-0.16900000000000001</v>
      </c>
      <c r="W9" s="3">
        <v>-0.60099999999999998</v>
      </c>
      <c r="X9" s="3">
        <v>-0.69699999999999995</v>
      </c>
      <c r="Y9" s="2">
        <v>440.99689999999998</v>
      </c>
      <c r="Z9" s="4">
        <v>1848.3</v>
      </c>
    </row>
    <row r="10" spans="1:26" x14ac:dyDescent="0.35">
      <c r="A10" s="1">
        <v>9</v>
      </c>
      <c r="B10" s="1" t="s">
        <v>16</v>
      </c>
      <c r="C10" s="1" t="s">
        <v>52</v>
      </c>
      <c r="D10" s="1" t="s">
        <v>34</v>
      </c>
      <c r="E10" s="2">
        <v>0.4249</v>
      </c>
      <c r="F10" s="5">
        <f t="shared" si="0"/>
        <v>-0.85590143186137113</v>
      </c>
      <c r="G10" s="2">
        <v>0.1447</v>
      </c>
      <c r="H10" s="5">
        <f t="shared" si="1"/>
        <v>-1.9330926453446988</v>
      </c>
      <c r="I10" s="5">
        <v>1.48546</v>
      </c>
      <c r="J10" s="5">
        <v>1.99298</v>
      </c>
      <c r="K10" s="5">
        <v>-1.05063</v>
      </c>
      <c r="L10" s="5">
        <v>1.9755</v>
      </c>
      <c r="M10" s="5">
        <v>-0.75734999999999997</v>
      </c>
      <c r="N10" s="5">
        <v>-6.3560000000000005E-2</v>
      </c>
      <c r="O10" s="5">
        <v>-0.30663000000000001</v>
      </c>
      <c r="P10" s="6">
        <v>0.42149399999999998</v>
      </c>
      <c r="Q10" s="6">
        <v>159.631</v>
      </c>
      <c r="R10" s="4">
        <v>11.48</v>
      </c>
      <c r="S10" s="4">
        <v>1.98</v>
      </c>
      <c r="T10" s="4">
        <v>3.31</v>
      </c>
      <c r="U10" s="3">
        <v>0.82199999999999995</v>
      </c>
      <c r="V10" s="3">
        <v>-0.2</v>
      </c>
      <c r="W10" s="3">
        <v>-0.60599999999999998</v>
      </c>
      <c r="X10" s="3">
        <v>-0.70499999999999996</v>
      </c>
      <c r="Y10" s="2">
        <v>380.08069999999998</v>
      </c>
      <c r="Z10" s="4">
        <v>1846.89</v>
      </c>
    </row>
    <row r="11" spans="1:26" x14ac:dyDescent="0.35">
      <c r="A11" s="1">
        <v>10</v>
      </c>
      <c r="B11" s="1" t="s">
        <v>17</v>
      </c>
      <c r="C11" s="1" t="s">
        <v>53</v>
      </c>
      <c r="D11" s="1" t="s">
        <v>35</v>
      </c>
      <c r="E11" s="2">
        <v>0.2442</v>
      </c>
      <c r="F11" s="5">
        <f t="shared" si="0"/>
        <v>-1.4097677173055327</v>
      </c>
      <c r="G11" s="2">
        <v>0.1104</v>
      </c>
      <c r="H11" s="5">
        <f t="shared" si="1"/>
        <v>-2.2036451451391423</v>
      </c>
      <c r="I11" s="5">
        <v>1.4832000000000001</v>
      </c>
      <c r="J11" s="5">
        <v>1.99457</v>
      </c>
      <c r="K11" s="5">
        <v>-1.0467599999999999</v>
      </c>
      <c r="L11" s="5">
        <v>1.9765600000000001</v>
      </c>
      <c r="M11" s="5">
        <v>-0.75202000000000002</v>
      </c>
      <c r="N11" s="5">
        <v>-3.3500000000000002E-2</v>
      </c>
      <c r="O11" s="5">
        <v>-0.32518999999999998</v>
      </c>
      <c r="P11" s="6">
        <v>1.187799</v>
      </c>
      <c r="Q11" s="6">
        <v>107.261667</v>
      </c>
      <c r="R11" s="4">
        <v>9.17</v>
      </c>
      <c r="S11" s="4">
        <v>2.0099999999999998</v>
      </c>
      <c r="T11" s="4">
        <v>3.62</v>
      </c>
      <c r="U11" s="3">
        <v>0.80500000000000005</v>
      </c>
      <c r="V11" s="3">
        <v>-0.20399999999999999</v>
      </c>
      <c r="W11" s="3">
        <v>-0.60099999999999998</v>
      </c>
      <c r="X11" s="3">
        <v>-0.70099999999999996</v>
      </c>
      <c r="Y11" s="2">
        <v>403.83100000000002</v>
      </c>
      <c r="Z11" s="4">
        <v>1848.72</v>
      </c>
    </row>
    <row r="12" spans="1:26" x14ac:dyDescent="0.35">
      <c r="A12" s="1">
        <v>11</v>
      </c>
      <c r="B12" s="1" t="s">
        <v>18</v>
      </c>
      <c r="C12" s="1" t="s">
        <v>54</v>
      </c>
      <c r="D12" s="1" t="s">
        <v>36</v>
      </c>
      <c r="E12" s="2">
        <v>0.34620000000000001</v>
      </c>
      <c r="F12" s="5">
        <f t="shared" si="0"/>
        <v>-1.0607386362400282</v>
      </c>
      <c r="G12" s="2">
        <v>0.11219999999999999</v>
      </c>
      <c r="H12" s="5">
        <f t="shared" si="1"/>
        <v>-2.1874722858935414</v>
      </c>
      <c r="I12" s="5">
        <v>1.48492</v>
      </c>
      <c r="J12" s="5">
        <v>1.99458</v>
      </c>
      <c r="K12" s="5">
        <v>-1.04139</v>
      </c>
      <c r="L12" s="5">
        <v>1.9771799999999999</v>
      </c>
      <c r="M12" s="5">
        <v>-0.64027000000000001</v>
      </c>
      <c r="N12" s="5">
        <v>-4.0480000000000002E-2</v>
      </c>
      <c r="O12" s="5">
        <v>-0.28286</v>
      </c>
      <c r="P12" s="6">
        <v>2.1530339999999999</v>
      </c>
      <c r="Q12" s="6">
        <v>139.79433299999999</v>
      </c>
      <c r="R12" s="4">
        <v>8.42</v>
      </c>
      <c r="S12" s="4">
        <v>1.7</v>
      </c>
      <c r="T12" s="4">
        <v>4.4000000000000004</v>
      </c>
      <c r="U12" s="3">
        <v>0.80500000000000005</v>
      </c>
      <c r="V12" s="3">
        <v>-0.19900000000000001</v>
      </c>
      <c r="W12" s="3">
        <v>-0.60499999999999998</v>
      </c>
      <c r="X12" s="3">
        <v>-0.70099999999999996</v>
      </c>
      <c r="Y12" s="2">
        <v>385.79329999999999</v>
      </c>
      <c r="Z12" s="4">
        <v>1844.96</v>
      </c>
    </row>
    <row r="13" spans="1:26" x14ac:dyDescent="0.35">
      <c r="A13" s="1">
        <v>12</v>
      </c>
      <c r="B13" s="1" t="s">
        <v>19</v>
      </c>
      <c r="C13" s="1" t="s">
        <v>55</v>
      </c>
      <c r="D13" s="1" t="s">
        <v>37</v>
      </c>
      <c r="E13" s="2">
        <v>0.23960000000000001</v>
      </c>
      <c r="F13" s="5">
        <f t="shared" si="0"/>
        <v>-1.4287844127408427</v>
      </c>
      <c r="G13" s="2">
        <v>0.10680000000000001</v>
      </c>
      <c r="H13" s="5">
        <f t="shared" si="1"/>
        <v>-2.2367973524560427</v>
      </c>
      <c r="I13" s="5">
        <v>1.48794</v>
      </c>
      <c r="J13" s="5">
        <v>1.9944599999999999</v>
      </c>
      <c r="K13" s="5">
        <v>-1.0580700000000001</v>
      </c>
      <c r="L13" s="5">
        <v>1.9758899999999999</v>
      </c>
      <c r="M13" s="5">
        <v>-0.75946000000000002</v>
      </c>
      <c r="N13" s="5">
        <v>-3.8629999999999998E-2</v>
      </c>
      <c r="O13" s="5">
        <v>-0.31222</v>
      </c>
      <c r="P13" s="6">
        <v>0.51500000000000001</v>
      </c>
      <c r="Q13" s="6">
        <v>110.66766699999999</v>
      </c>
      <c r="R13" s="4">
        <v>6.39</v>
      </c>
      <c r="S13" s="4">
        <v>1.75</v>
      </c>
      <c r="T13" s="4">
        <v>4.6500000000000004</v>
      </c>
      <c r="U13" s="3">
        <v>0.80600000000000005</v>
      </c>
      <c r="V13" s="3">
        <v>-0.16</v>
      </c>
      <c r="W13" s="3">
        <v>-0.59599999999999997</v>
      </c>
      <c r="X13" s="3">
        <v>-0.69899999999999995</v>
      </c>
      <c r="Y13" s="2">
        <v>396.79610000000002</v>
      </c>
      <c r="Z13" s="4">
        <v>1850.7</v>
      </c>
    </row>
    <row r="14" spans="1:26" x14ac:dyDescent="0.35">
      <c r="A14" s="1">
        <v>13</v>
      </c>
      <c r="B14" s="1" t="s">
        <v>20</v>
      </c>
      <c r="C14" s="1" t="s">
        <v>56</v>
      </c>
      <c r="D14" s="1" t="s">
        <v>1</v>
      </c>
      <c r="E14" s="2">
        <v>0.31419999999999998</v>
      </c>
      <c r="F14" s="5">
        <f t="shared" si="0"/>
        <v>-1.1577255531606163</v>
      </c>
      <c r="G14" s="2">
        <v>0.11459999999999999</v>
      </c>
      <c r="H14" s="5">
        <f t="shared" si="1"/>
        <v>-2.1663074747014979</v>
      </c>
      <c r="I14" s="5">
        <v>1.4830300000000001</v>
      </c>
      <c r="J14" s="5">
        <v>1.9944299999999999</v>
      </c>
      <c r="K14" s="5">
        <v>-1.0409999999999999</v>
      </c>
      <c r="L14" s="5">
        <v>1.9767399999999999</v>
      </c>
      <c r="M14" s="5">
        <v>-0.75558999999999998</v>
      </c>
      <c r="N14" s="5">
        <v>-2.7869999999999999E-2</v>
      </c>
      <c r="O14" s="5">
        <v>-0.32455000000000001</v>
      </c>
      <c r="P14" s="6">
        <v>1.4011340000000001</v>
      </c>
      <c r="Q14" s="6">
        <v>87.796999999999997</v>
      </c>
      <c r="R14" s="4">
        <v>6.99</v>
      </c>
      <c r="S14" s="4">
        <v>1.7</v>
      </c>
      <c r="T14" s="4">
        <v>3.22</v>
      </c>
      <c r="U14" s="3">
        <v>0.80600000000000005</v>
      </c>
      <c r="V14" s="3">
        <v>-0.2</v>
      </c>
      <c r="W14" s="3">
        <v>-0.60299999999999998</v>
      </c>
      <c r="X14" s="3">
        <v>-0.70199999999999996</v>
      </c>
      <c r="Y14" s="2">
        <v>399.23939999999999</v>
      </c>
      <c r="Z14" s="4">
        <v>1847.75</v>
      </c>
    </row>
    <row r="15" spans="1:26" x14ac:dyDescent="0.35">
      <c r="A15" s="1">
        <v>14</v>
      </c>
      <c r="B15" s="1" t="s">
        <v>21</v>
      </c>
      <c r="C15" s="1" t="s">
        <v>57</v>
      </c>
      <c r="D15" s="1" t="s">
        <v>0</v>
      </c>
      <c r="E15" s="2">
        <v>0.5212</v>
      </c>
      <c r="F15" s="5">
        <f t="shared" si="0"/>
        <v>-0.65162143373144699</v>
      </c>
      <c r="G15" s="2">
        <v>0.2248</v>
      </c>
      <c r="H15" s="5">
        <f t="shared" si="1"/>
        <v>-1.4925441609626011</v>
      </c>
      <c r="I15" s="5">
        <v>1.47804</v>
      </c>
      <c r="J15" s="5">
        <v>1.99258</v>
      </c>
      <c r="K15" s="5">
        <v>-1.03565</v>
      </c>
      <c r="L15" s="5">
        <v>1.9753499999999999</v>
      </c>
      <c r="M15" s="5">
        <v>-0.74692999999999998</v>
      </c>
      <c r="N15" s="5">
        <v>-1.5570000000000001E-2</v>
      </c>
      <c r="O15" s="5">
        <v>-0.29427999999999999</v>
      </c>
      <c r="P15" s="6">
        <v>2.4981550000000001</v>
      </c>
      <c r="Q15" s="6">
        <v>108.160667</v>
      </c>
      <c r="R15" s="4">
        <v>8.5399999999999991</v>
      </c>
      <c r="S15" s="4">
        <v>1.83</v>
      </c>
      <c r="T15" s="4">
        <v>3.23</v>
      </c>
      <c r="U15" s="3">
        <v>0.80600000000000005</v>
      </c>
      <c r="V15" s="3">
        <v>-0.22500000000000001</v>
      </c>
      <c r="W15" s="3">
        <v>-0.61199999999999999</v>
      </c>
      <c r="X15" s="3">
        <v>-0.70399999999999996</v>
      </c>
      <c r="Y15" s="2">
        <v>425.37880000000001</v>
      </c>
      <c r="Z15" s="4">
        <v>1838.69</v>
      </c>
    </row>
    <row r="16" spans="1:26" x14ac:dyDescent="0.35">
      <c r="A16" s="1">
        <v>15</v>
      </c>
      <c r="B16" s="1" t="s">
        <v>23</v>
      </c>
      <c r="C16" s="1" t="s">
        <v>58</v>
      </c>
      <c r="D16" s="1" t="s">
        <v>38</v>
      </c>
      <c r="E16" s="2">
        <v>0.1363</v>
      </c>
      <c r="F16" s="5">
        <f t="shared" si="0"/>
        <v>-1.9928969402796501</v>
      </c>
      <c r="G16" s="2">
        <v>4.99E-2</v>
      </c>
      <c r="H16" s="5">
        <f t="shared" si="1"/>
        <v>-2.9977342762246639</v>
      </c>
      <c r="I16" s="5">
        <v>1.4669000000000001</v>
      </c>
      <c r="J16" s="5">
        <v>1.9949300000000001</v>
      </c>
      <c r="K16" s="5">
        <v>-1.0447900000000001</v>
      </c>
      <c r="L16" s="5">
        <v>1.9812799999999999</v>
      </c>
      <c r="M16" s="5">
        <v>-0.79749999999999999</v>
      </c>
      <c r="N16" s="5">
        <v>-3.2419999999999997E-2</v>
      </c>
      <c r="O16" s="5">
        <v>-0.31302000000000002</v>
      </c>
      <c r="P16" s="6">
        <v>2.0194209999999999</v>
      </c>
      <c r="Q16" s="6">
        <v>83.345667000000006</v>
      </c>
      <c r="R16" s="4">
        <v>5.65</v>
      </c>
      <c r="S16" s="4">
        <v>1.75</v>
      </c>
      <c r="T16" s="4">
        <v>3.24</v>
      </c>
      <c r="U16" s="3">
        <v>0.78600000000000003</v>
      </c>
      <c r="V16" s="3">
        <v>-0.36199999999999999</v>
      </c>
      <c r="W16" s="3">
        <v>-0.59599999999999997</v>
      </c>
      <c r="X16" s="3">
        <v>-0.7</v>
      </c>
      <c r="Y16" s="2">
        <v>453.57420000000002</v>
      </c>
      <c r="Z16" s="4">
        <v>1842.04</v>
      </c>
    </row>
    <row r="17" spans="1:26" x14ac:dyDescent="0.35">
      <c r="A17" s="1">
        <v>16</v>
      </c>
      <c r="B17" s="1" t="s">
        <v>24</v>
      </c>
      <c r="C17" s="1" t="s">
        <v>59</v>
      </c>
      <c r="D17" s="1" t="s">
        <v>39</v>
      </c>
      <c r="E17" s="2">
        <v>0.25990000000000002</v>
      </c>
      <c r="F17" s="5">
        <f t="shared" si="0"/>
        <v>-1.3474583373346924</v>
      </c>
      <c r="G17" s="2">
        <v>9.64E-2</v>
      </c>
      <c r="H17" s="5">
        <f t="shared" si="1"/>
        <v>-2.3392490773656371</v>
      </c>
      <c r="I17" s="1">
        <v>1.4777800000000001</v>
      </c>
      <c r="J17" s="5">
        <v>1.99322</v>
      </c>
      <c r="K17" s="5">
        <v>-1.0541</v>
      </c>
      <c r="L17" s="5">
        <v>1.9639200000000001</v>
      </c>
      <c r="M17" s="5">
        <v>-0.62841999999999998</v>
      </c>
      <c r="N17" s="5">
        <v>-1.5890000000000001E-2</v>
      </c>
      <c r="O17" s="5">
        <v>-0.29058</v>
      </c>
      <c r="P17" s="6">
        <v>2.7972090000000001</v>
      </c>
      <c r="Q17" s="6">
        <v>228.025667</v>
      </c>
      <c r="R17" s="4">
        <v>10.83</v>
      </c>
      <c r="S17" s="4">
        <v>1.85</v>
      </c>
      <c r="T17" s="4">
        <v>6.23</v>
      </c>
      <c r="U17" s="3">
        <v>0.80400000000000005</v>
      </c>
      <c r="V17" s="3">
        <v>-9.7000000000000003E-2</v>
      </c>
      <c r="W17" s="3">
        <v>-0.61899999999999999</v>
      </c>
      <c r="X17" s="3">
        <v>-0.71</v>
      </c>
      <c r="Y17" s="2">
        <v>433.3116</v>
      </c>
      <c r="Z17" s="4">
        <v>1838.28</v>
      </c>
    </row>
    <row r="18" spans="1:26" x14ac:dyDescent="0.35">
      <c r="A18" s="1">
        <v>17</v>
      </c>
      <c r="B18" s="1" t="s">
        <v>25</v>
      </c>
      <c r="C18" s="1" t="s">
        <v>60</v>
      </c>
      <c r="D18" s="1" t="s">
        <v>40</v>
      </c>
      <c r="E18" s="2">
        <v>0.29609999999999997</v>
      </c>
      <c r="F18" s="5">
        <f t="shared" si="0"/>
        <v>-1.2170580438745915</v>
      </c>
      <c r="G18" s="2">
        <v>0.12790000000000001</v>
      </c>
      <c r="H18" s="5">
        <f t="shared" si="1"/>
        <v>-2.0565065703973398</v>
      </c>
      <c r="I18" s="5">
        <v>1.4868300000000001</v>
      </c>
      <c r="J18" s="5">
        <v>1.9927699999999999</v>
      </c>
      <c r="K18" s="5">
        <v>-1.06864</v>
      </c>
      <c r="L18" s="5">
        <v>1.9748399999999999</v>
      </c>
      <c r="M18" s="5">
        <v>-0.58721000000000001</v>
      </c>
      <c r="N18" s="5">
        <v>-4.3999999999999997E-2</v>
      </c>
      <c r="O18" s="5">
        <v>-0.30564999999999998</v>
      </c>
      <c r="P18" s="6">
        <v>1.8657589999999999</v>
      </c>
      <c r="Q18" s="6">
        <v>161.974333</v>
      </c>
      <c r="R18" s="4">
        <v>10.27</v>
      </c>
      <c r="S18" s="4">
        <v>1.95</v>
      </c>
      <c r="T18" s="4">
        <v>5.65</v>
      </c>
      <c r="U18" s="3">
        <v>0.80300000000000005</v>
      </c>
      <c r="V18" s="3">
        <v>-0.184</v>
      </c>
      <c r="W18" s="3">
        <v>-0.59899999999999998</v>
      </c>
      <c r="X18" s="3">
        <v>-0.69899999999999995</v>
      </c>
      <c r="Y18" s="2">
        <v>401.75209999999998</v>
      </c>
      <c r="Z18" s="4">
        <v>1849.08</v>
      </c>
    </row>
    <row r="19" spans="1:26" x14ac:dyDescent="0.35">
      <c r="A19" s="1">
        <v>18</v>
      </c>
      <c r="B19" s="1" t="s">
        <v>26</v>
      </c>
      <c r="C19" s="1" t="s">
        <v>61</v>
      </c>
      <c r="D19" s="1" t="s">
        <v>3</v>
      </c>
      <c r="E19" s="2">
        <v>0.107</v>
      </c>
      <c r="F19" s="5">
        <f t="shared" si="0"/>
        <v>-2.234926444520231</v>
      </c>
      <c r="G19" s="2">
        <v>5.5300000000000002E-2</v>
      </c>
      <c r="H19" s="5">
        <f t="shared" si="1"/>
        <v>-2.8949823704538478</v>
      </c>
      <c r="I19" s="5">
        <v>1.48967</v>
      </c>
      <c r="J19" s="5">
        <v>1.9945200000000001</v>
      </c>
      <c r="K19" s="5">
        <v>-1.06521</v>
      </c>
      <c r="L19" s="5">
        <v>1.97692</v>
      </c>
      <c r="M19" s="5">
        <v>-0.77176999999999996</v>
      </c>
      <c r="N19" s="5">
        <v>-6.3420000000000004E-2</v>
      </c>
      <c r="O19" s="5">
        <v>-0.34279999999999999</v>
      </c>
      <c r="P19" s="6">
        <v>3.5802109999999998</v>
      </c>
      <c r="Q19" s="6">
        <v>106.038</v>
      </c>
      <c r="R19" s="4">
        <v>8.2200000000000006</v>
      </c>
      <c r="S19" s="4">
        <v>1.7</v>
      </c>
      <c r="T19" s="4">
        <v>3.22</v>
      </c>
      <c r="U19" s="3">
        <v>0.80200000000000005</v>
      </c>
      <c r="V19" s="3">
        <v>-0.153</v>
      </c>
      <c r="W19" s="3">
        <v>-0.59</v>
      </c>
      <c r="X19" s="3">
        <v>-0.69699999999999995</v>
      </c>
      <c r="Y19" s="2">
        <v>393.10430000000002</v>
      </c>
      <c r="Z19" s="4">
        <v>1854.87</v>
      </c>
    </row>
    <row r="20" spans="1:26" x14ac:dyDescent="0.35">
      <c r="A20" s="1">
        <v>19</v>
      </c>
      <c r="B20" s="1" t="s">
        <v>27</v>
      </c>
      <c r="C20" s="1" t="s">
        <v>62</v>
      </c>
      <c r="D20" s="1" t="s">
        <v>41</v>
      </c>
      <c r="E20" s="2">
        <v>0.37369999999999998</v>
      </c>
      <c r="F20" s="5">
        <f t="shared" si="0"/>
        <v>-0.98430194249069891</v>
      </c>
      <c r="G20" s="2">
        <v>0.14369999999999999</v>
      </c>
      <c r="H20" s="5">
        <f t="shared" si="1"/>
        <v>-1.9400274858971578</v>
      </c>
      <c r="I20" s="5">
        <v>1.4846200000000001</v>
      </c>
      <c r="J20" s="5">
        <v>1.9944900000000001</v>
      </c>
      <c r="K20" s="5">
        <v>-1.0521400000000001</v>
      </c>
      <c r="L20" s="5">
        <v>1.9764999999999999</v>
      </c>
      <c r="M20" s="5">
        <v>-0.75892999999999999</v>
      </c>
      <c r="N20" s="5">
        <v>-3.6499999999999998E-2</v>
      </c>
      <c r="O20" s="5">
        <v>-0.31913000000000002</v>
      </c>
      <c r="P20" s="6">
        <v>1.409978</v>
      </c>
      <c r="Q20" s="6">
        <v>103.992</v>
      </c>
      <c r="R20" s="4">
        <v>7.66</v>
      </c>
      <c r="S20" s="4">
        <v>1.75</v>
      </c>
      <c r="T20" s="4">
        <v>3.23</v>
      </c>
      <c r="U20" s="3">
        <v>0.80500000000000005</v>
      </c>
      <c r="V20" s="3">
        <v>-0.183</v>
      </c>
      <c r="W20" s="3">
        <v>-0.6</v>
      </c>
      <c r="X20" s="3">
        <v>-0.70099999999999996</v>
      </c>
      <c r="Y20" s="2">
        <v>414.42410000000001</v>
      </c>
      <c r="Z20" s="4">
        <v>1848.8</v>
      </c>
    </row>
    <row r="21" spans="1:26" x14ac:dyDescent="0.35">
      <c r="A21" s="1">
        <v>20</v>
      </c>
      <c r="B21" s="1" t="s">
        <v>28</v>
      </c>
      <c r="C21" s="1" t="s">
        <v>63</v>
      </c>
      <c r="D21" s="1" t="s">
        <v>42</v>
      </c>
      <c r="E21" s="2">
        <v>0.29949999999999999</v>
      </c>
      <c r="F21" s="5">
        <f t="shared" si="0"/>
        <v>-1.205640861426633</v>
      </c>
      <c r="G21" s="2">
        <v>0.11940000000000001</v>
      </c>
      <c r="H21" s="5">
        <f t="shared" si="1"/>
        <v>-2.1252760780236355</v>
      </c>
      <c r="I21" s="5">
        <v>1.4867699999999999</v>
      </c>
      <c r="J21" s="5">
        <v>1.99447</v>
      </c>
      <c r="K21" s="5">
        <v>-1.0592299999999999</v>
      </c>
      <c r="L21" s="5">
        <v>1.9765299999999999</v>
      </c>
      <c r="M21" s="5">
        <v>-9.8126999999999995</v>
      </c>
      <c r="N21" s="5">
        <v>-3.9820000000000001E-2</v>
      </c>
      <c r="O21" s="5">
        <v>-0.27661000000000002</v>
      </c>
      <c r="P21" s="6">
        <v>2.3741759999999998</v>
      </c>
      <c r="Q21" s="6">
        <v>203.797</v>
      </c>
      <c r="R21" s="4">
        <v>9.66</v>
      </c>
      <c r="S21" s="4">
        <v>1.7</v>
      </c>
      <c r="T21" s="4">
        <v>8.8800000000000008</v>
      </c>
      <c r="U21" s="3">
        <v>0.8</v>
      </c>
      <c r="V21" s="3">
        <v>-0.189</v>
      </c>
      <c r="W21" s="3">
        <v>-0.60099999999999998</v>
      </c>
      <c r="X21" s="3">
        <v>-0.7</v>
      </c>
      <c r="Y21" s="2">
        <v>460.98759999999999</v>
      </c>
      <c r="Z21" s="4">
        <v>1848.71</v>
      </c>
    </row>
    <row r="22" spans="1:26" x14ac:dyDescent="0.35">
      <c r="A22" s="1">
        <v>21</v>
      </c>
      <c r="B22" s="1" t="s">
        <v>87</v>
      </c>
      <c r="C22" s="1" t="s">
        <v>85</v>
      </c>
      <c r="D22" s="1" t="s">
        <v>86</v>
      </c>
      <c r="E22" s="1">
        <v>0.43759999999999999</v>
      </c>
      <c r="F22" s="5">
        <f t="shared" si="0"/>
        <v>-0.82645002787436561</v>
      </c>
      <c r="G22" s="2">
        <v>0.2278</v>
      </c>
      <c r="H22" s="5">
        <f t="shared" si="1"/>
        <v>-1.4792872279690552</v>
      </c>
      <c r="I22" s="1">
        <v>1.48369</v>
      </c>
      <c r="J22" s="1">
        <v>1.99461</v>
      </c>
      <c r="K22" s="1">
        <v>-1.38503</v>
      </c>
      <c r="L22" s="1">
        <v>1.9774099999999999</v>
      </c>
      <c r="M22" s="1">
        <v>-2.4492699999999998</v>
      </c>
      <c r="N22" s="5">
        <v>-3.1099999999999999E-2</v>
      </c>
      <c r="O22" s="1">
        <v>-0.28272000000000003</v>
      </c>
      <c r="P22" s="1">
        <v>3.828808</v>
      </c>
      <c r="Q22" s="1">
        <v>300.46966700000002</v>
      </c>
      <c r="R22" s="4">
        <v>12.88</v>
      </c>
      <c r="S22" s="4">
        <v>2.92</v>
      </c>
      <c r="T22" s="4">
        <v>8.7200000000000006</v>
      </c>
      <c r="U22" s="1">
        <v>0.80600000000000005</v>
      </c>
      <c r="V22" s="1">
        <v>-0.20599999999999999</v>
      </c>
      <c r="W22" s="3">
        <v>-0.60599999999999998</v>
      </c>
      <c r="X22" s="3">
        <v>-0.70099999999999996</v>
      </c>
      <c r="Y22" s="2">
        <v>436.58330000000001</v>
      </c>
      <c r="Z22" s="4">
        <v>1843.25</v>
      </c>
    </row>
    <row r="23" spans="1:26" x14ac:dyDescent="0.35"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dhcyh</dc:creator>
  <cp:lastModifiedBy>蔡芸琤</cp:lastModifiedBy>
  <dcterms:created xsi:type="dcterms:W3CDTF">2022-09-06T00:37:16Z</dcterms:created>
  <dcterms:modified xsi:type="dcterms:W3CDTF">2025-10-29T09:14:02Z</dcterms:modified>
</cp:coreProperties>
</file>